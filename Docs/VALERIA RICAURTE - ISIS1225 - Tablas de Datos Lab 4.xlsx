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7983EA7-5CCE-4A10-BB66-995E51F5612D}" xr6:coauthVersionLast="47" xr6:coauthVersionMax="47" xr10:uidLastSave="{00000000-0000-0000-0000-000000000000}"/>
  <bookViews>
    <workbookView xWindow="-110" yWindow="-110" windowWidth="19420" windowHeight="10300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22" i="1"/>
  <c r="B17" i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<sst xmlns="http://schemas.openxmlformats.org/spreadsheetml/2006/main" count="20" uniqueCount="17">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</sst>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2" fontId="2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  <c:pt idx="0">
                  <c:v>4.3999999999999997E-2</c:v>
                </c:pt>
                <c:pt idx="1">
                  <c:v>0.185</c:v>
                </c:pt>
                <c:pt idx="2">
                  <c:v>0.34300000000000003</c:v>
                </c:pt>
                <c:pt idx="3">
                  <c:v>0.36099999999999999</c:v>
                </c:pt>
                <c:pt idx="4">
                  <c:v>1.1279999999999999</c:v>
                </c:pt>
                <c:pt idx="5">
                  <c:v>1.609</c:v>
                </c:pt>
                <c:pt idx="6">
                  <c:v>1.1819999999999999</c:v>
                </c:pt>
                <c:pt idx="7">
                  <c:v>1.6850000000000001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4'!$C$14:$C$22</c:f>
              <c:numCache>
                <c:formatCode>General</c:formatCode>
                <c:ptCount val="9"/>
                <c:pt idx="0">
                  <c:v>6.4000000000000001E-2</c:v>
                </c:pt>
                <c:pt idx="1">
                  <c:v>0.38800000000000001</c:v>
                </c:pt>
                <c:pt idx="2">
                  <c:v>0.58599999999999997</c:v>
                </c:pt>
                <c:pt idx="3">
                  <c:v>1.1559999999999999</c:v>
                </c:pt>
                <c:pt idx="4">
                  <c:v>1.6180000000000001</c:v>
                </c:pt>
                <c:pt idx="5">
                  <c:v>2.7450000000000001</c:v>
                </c:pt>
                <c:pt idx="6">
                  <c:v>4.5880000000000001</c:v>
                </c:pt>
                <c:pt idx="7">
                  <c:v>6.1040000000000001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  <c:pt idx="0">
                  <c:v>2.7E-2</c:v>
                </c:pt>
                <c:pt idx="1">
                  <c:v>0.312</c:v>
                </c:pt>
                <c:pt idx="2">
                  <c:v>0.71299999999999997</c:v>
                </c:pt>
                <c:pt idx="3">
                  <c:v>1.1859999999999999</c:v>
                </c:pt>
                <c:pt idx="4">
                  <c:v>3.5379999999999998</c:v>
                </c:pt>
                <c:pt idx="5">
                  <c:v>8.2530000000000001</c:v>
                </c:pt>
                <c:pt idx="6">
                  <c:v>10.753</c:v>
                </c:pt>
                <c:pt idx="7">
                  <c:v>15.103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4'!$D$14:$D$22</c:f>
              <c:numCache>
                <c:formatCode>General</c:formatCode>
                <c:ptCount val="9"/>
                <c:pt idx="0">
                  <c:v>2.8000000000000001E-2</c:v>
                </c:pt>
                <c:pt idx="1">
                  <c:v>0.22</c:v>
                </c:pt>
                <c:pt idx="2">
                  <c:v>0.44900000000000001</c:v>
                </c:pt>
                <c:pt idx="3">
                  <c:v>1.0089999999999999</c:v>
                </c:pt>
                <c:pt idx="4">
                  <c:v>1.4039999999999999</c:v>
                </c:pt>
                <c:pt idx="5">
                  <c:v>2.3220000000000001</c:v>
                </c:pt>
                <c:pt idx="6">
                  <c:v>3.6150000000000002</c:v>
                </c:pt>
                <c:pt idx="7">
                  <c:v>4.0789999999999997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  <c:pt idx="0">
                  <c:v>6.0000000000000001E-3</c:v>
                </c:pt>
                <c:pt idx="1">
                  <c:v>7.0000000000000001E-3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1E-3</c:v>
                </c:pt>
                <c:pt idx="7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4'!$E$14:$E$22</c:f>
              <c:numCache>
                <c:formatCode>General</c:formatCode>
                <c:ptCount val="9"/>
                <c:pt idx="0">
                  <c:v>6.0000000000000001E-3</c:v>
                </c:pt>
                <c:pt idx="1">
                  <c:v>3.0000000000000001E-3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6.0000000000000001E-3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4'!$F$3:$F$11</c:f>
              <c:numCache>
                <c:formatCode>General</c:formatCode>
                <c:ptCount val="9"/>
                <c:pt idx="0">
                  <c:v>2.9000000000000001E-2</c:v>
                </c:pt>
                <c:pt idx="1">
                  <c:v>0.223</c:v>
                </c:pt>
                <c:pt idx="2">
                  <c:v>0.53700000000000003</c:v>
                </c:pt>
                <c:pt idx="3">
                  <c:v>0.86099999999999999</c:v>
                </c:pt>
                <c:pt idx="4">
                  <c:v>2.786</c:v>
                </c:pt>
                <c:pt idx="5">
                  <c:v>4.0449999999999999</c:v>
                </c:pt>
                <c:pt idx="6">
                  <c:v>7.6689999999999996</c:v>
                </c:pt>
                <c:pt idx="7">
                  <c:v>11.7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4'!$F$14:$F$22</c:f>
              <c:numCache>
                <c:formatCode>General</c:formatCode>
                <c:ptCount val="9"/>
                <c:pt idx="0">
                  <c:v>2.9000000000000001E-2</c:v>
                </c:pt>
                <c:pt idx="1">
                  <c:v>0.25900000000000001</c:v>
                </c:pt>
                <c:pt idx="2">
                  <c:v>0.51100000000000001</c:v>
                </c:pt>
                <c:pt idx="3">
                  <c:v>1.0249999999999999</c:v>
                </c:pt>
                <c:pt idx="4">
                  <c:v>1.556</c:v>
                </c:pt>
                <c:pt idx="5">
                  <c:v>2.6880000000000002</c:v>
                </c:pt>
                <c:pt idx="6">
                  <c:v>3.2679999999999998</c:v>
                </c:pt>
                <c:pt idx="7">
                  <c:v>3.2829999999999999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4'!$G$3:$G$11</c:f>
              <c:numCache>
                <c:formatCode>General</c:formatCode>
                <c:ptCount val="9"/>
                <c:pt idx="0">
                  <c:v>2.1999999999999999E-2</c:v>
                </c:pt>
                <c:pt idx="1">
                  <c:v>0.27200000000000002</c:v>
                </c:pt>
                <c:pt idx="2">
                  <c:v>0.68300000000000005</c:v>
                </c:pt>
                <c:pt idx="3">
                  <c:v>0.97499999999999998</c:v>
                </c:pt>
                <c:pt idx="4">
                  <c:v>3.08</c:v>
                </c:pt>
                <c:pt idx="5">
                  <c:v>3.7959999999999998</c:v>
                </c:pt>
                <c:pt idx="6">
                  <c:v>10.038</c:v>
                </c:pt>
                <c:pt idx="7">
                  <c:v>15.853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4'!$G$14:$G$22</c:f>
              <c:numCache>
                <c:formatCode>General</c:formatCode>
                <c:ptCount val="9"/>
                <c:pt idx="0">
                  <c:v>2.3E-2</c:v>
                </c:pt>
                <c:pt idx="1">
                  <c:v>0.20599999999999999</c:v>
                </c:pt>
                <c:pt idx="2">
                  <c:v>0.497</c:v>
                </c:pt>
                <c:pt idx="3">
                  <c:v>0.80100000000000005</c:v>
                </c:pt>
                <c:pt idx="4">
                  <c:v>1.276</c:v>
                </c:pt>
                <c:pt idx="5">
                  <c:v>2.2389999999999999</c:v>
                </c:pt>
                <c:pt idx="6">
                  <c:v>2.3069999999999999</c:v>
                </c:pt>
                <c:pt idx="7">
                  <c:v>2.4449999999999998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4'!$H$3:$H$11</c:f>
              <c:numCache>
                <c:formatCode>General</c:formatCode>
                <c:ptCount val="9"/>
                <c:pt idx="0">
                  <c:v>2E-3</c:v>
                </c:pt>
                <c:pt idx="1">
                  <c:v>2E-3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0</c:v>
                </c:pt>
                <c:pt idx="6">
                  <c:v>1E-3</c:v>
                </c:pt>
                <c:pt idx="7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4'!$H$14:$H$22</c:f>
              <c:numCache>
                <c:formatCode>General</c:formatCode>
                <c:ptCount val="9"/>
                <c:pt idx="0">
                  <c:v>2E-3</c:v>
                </c:pt>
                <c:pt idx="1">
                  <c:v>2E-3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4.0000000000000001E-3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zoomScale="4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zoomScale="4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zoomScale="4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zoomScale="4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1" totalsRowShown="0" headerRowDxfId="19" dataDxfId="18">
  <autoFilter ref="A2:H11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2" totalsRowShown="0" headerRowDxfId="9" dataDxfId="8">
  <autoFilter ref="A13:H22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2"/>
  <sheetViews>
    <sheetView tabSelected="1" topLeftCell="A2" zoomScale="64" zoomScaleNormal="116" workbookViewId="0">
      <selection activeCell="C8" sqref="C8"/>
    </sheetView>
  </sheetViews>
  <sheetFormatPr baseColWidth="10" defaultColWidth="8.81640625" defaultRowHeight="14.5"/>
  <cols>
    <col min="1" max="1" width="19.1796875" style="1" bestFit="1" customWidth="1"/>
    <col min="2" max="2" width="25.54296875" style="1" bestFit="1" customWidth="1"/>
    <col min="3" max="4" width="24.453125" style="1" customWidth="1"/>
    <col min="5" max="5" width="24.453125" style="6" customWidth="1"/>
    <col min="6" max="12" width="24.453125" customWidth="1"/>
  </cols>
  <sheetData>
    <row r="1" spans="1:8" ht="14.25" customHeight="1">
      <c r="C1" s="8" t="s">
        <v>0</v>
      </c>
      <c r="D1" s="8"/>
      <c r="E1" s="8"/>
      <c r="F1" s="9" t="s">
        <v>1</v>
      </c>
      <c r="G1" s="9"/>
      <c r="H1" s="9"/>
    </row>
    <row r="2" spans="1:8" s="5" customFormat="1" ht="2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 ht="14">
      <c r="A3" s="2">
        <v>5.0000000000000001E-3</v>
      </c>
      <c r="B3" s="3">
        <f>Table1[[#This Row],[Porcentaje de la muestra '[pct']]]*10000</f>
        <v>50</v>
      </c>
      <c r="C3" s="4">
        <v>4.3999999999999997E-2</v>
      </c>
      <c r="D3" s="4">
        <v>2.7E-2</v>
      </c>
      <c r="E3" s="4">
        <v>6.0000000000000001E-3</v>
      </c>
      <c r="F3" s="4">
        <v>2.9000000000000001E-2</v>
      </c>
      <c r="G3" s="4">
        <v>2.1999999999999999E-2</v>
      </c>
      <c r="H3" s="4">
        <v>2E-3</v>
      </c>
    </row>
    <row r="4" spans="1:8" s="5" customFormat="1" ht="14">
      <c r="A4" s="2">
        <v>0.05</v>
      </c>
      <c r="B4" s="3">
        <f>Table1[[#This Row],[Porcentaje de la muestra '[pct']]]*10000</f>
        <v>500</v>
      </c>
      <c r="C4" s="4">
        <v>0.185</v>
      </c>
      <c r="D4" s="4">
        <v>0.312</v>
      </c>
      <c r="E4" s="4">
        <v>7.0000000000000001E-3</v>
      </c>
      <c r="F4" s="4">
        <v>0.223</v>
      </c>
      <c r="G4" s="4">
        <v>0.27200000000000002</v>
      </c>
      <c r="H4" s="4">
        <v>2E-3</v>
      </c>
    </row>
    <row r="5" spans="1:8">
      <c r="A5" s="2">
        <v>0.1</v>
      </c>
      <c r="B5" s="3">
        <f>Table1[[#This Row],[Porcentaje de la muestra '[pct']]]*10000</f>
        <v>1000</v>
      </c>
      <c r="C5" s="4">
        <v>0.34300000000000003</v>
      </c>
      <c r="D5" s="4">
        <v>0.71299999999999997</v>
      </c>
      <c r="E5" s="4">
        <v>2E-3</v>
      </c>
      <c r="F5" s="4">
        <v>0.53700000000000003</v>
      </c>
      <c r="G5" s="4">
        <v>0.68300000000000005</v>
      </c>
      <c r="H5" s="4">
        <v>1E-3</v>
      </c>
    </row>
    <row r="6" spans="1:8">
      <c r="A6" s="2">
        <v>0.2</v>
      </c>
      <c r="B6" s="3">
        <f>Table1[[#This Row],[Porcentaje de la muestra '[pct']]]*10000</f>
        <v>2000</v>
      </c>
      <c r="C6" s="4">
        <v>0.36099999999999999</v>
      </c>
      <c r="D6" s="4">
        <v>1.1859999999999999</v>
      </c>
      <c r="E6" s="4">
        <v>2E-3</v>
      </c>
      <c r="F6" s="4">
        <v>0.86099999999999999</v>
      </c>
      <c r="G6" s="4">
        <v>0.97499999999999998</v>
      </c>
      <c r="H6" s="4">
        <v>1E-3</v>
      </c>
    </row>
    <row r="7" spans="1:8">
      <c r="A7" s="2">
        <v>0.3</v>
      </c>
      <c r="B7" s="3">
        <f>Table1[[#This Row],[Porcentaje de la muestra '[pct']]]*10000</f>
        <v>3000</v>
      </c>
      <c r="C7" s="4">
        <v>1.1279999999999999</v>
      </c>
      <c r="D7" s="4">
        <v>3.5379999999999998</v>
      </c>
      <c r="E7" s="4">
        <v>2E-3</v>
      </c>
      <c r="F7" s="4">
        <v>2.786</v>
      </c>
      <c r="G7" s="4">
        <v>3.08</v>
      </c>
      <c r="H7" s="4">
        <v>1E-3</v>
      </c>
    </row>
    <row r="8" spans="1:8">
      <c r="A8" s="2">
        <v>0.5</v>
      </c>
      <c r="B8" s="3">
        <f>Table1[[#This Row],[Porcentaje de la muestra '[pct']]]*10000</f>
        <v>5000</v>
      </c>
      <c r="C8" s="4">
        <v>1.609</v>
      </c>
      <c r="D8" s="4">
        <v>8.2530000000000001</v>
      </c>
      <c r="E8" s="4">
        <v>2E-3</v>
      </c>
      <c r="F8" s="4">
        <v>4.0449999999999999</v>
      </c>
      <c r="G8" s="4">
        <v>3.7959999999999998</v>
      </c>
      <c r="H8" s="4">
        <v>0</v>
      </c>
    </row>
    <row r="9" spans="1:8">
      <c r="A9" s="2">
        <v>0.8</v>
      </c>
      <c r="B9" s="3">
        <f>Table1[[#This Row],[Porcentaje de la muestra '[pct']]]*10000</f>
        <v>8000</v>
      </c>
      <c r="C9" s="4">
        <v>1.1819999999999999</v>
      </c>
      <c r="D9" s="4">
        <v>10.753</v>
      </c>
      <c r="E9" s="4">
        <v>1E-3</v>
      </c>
      <c r="F9" s="4">
        <v>7.6689999999999996</v>
      </c>
      <c r="G9" s="4">
        <v>10.038</v>
      </c>
      <c r="H9" s="4">
        <v>1E-3</v>
      </c>
    </row>
    <row r="10" spans="1:8">
      <c r="A10" s="2">
        <v>1</v>
      </c>
      <c r="B10" s="3">
        <f>Table1[[#This Row],[Porcentaje de la muestra '[pct']]]*10000</f>
        <v>10000</v>
      </c>
      <c r="C10" s="4">
        <v>1.6850000000000001</v>
      </c>
      <c r="D10" s="4">
        <v>15.103</v>
      </c>
      <c r="E10" s="4">
        <v>1E-3</v>
      </c>
      <c r="F10" s="4">
        <v>11.7</v>
      </c>
      <c r="G10" s="4">
        <v>15.853</v>
      </c>
      <c r="H10" s="4">
        <v>1E-3</v>
      </c>
    </row>
    <row r="11" spans="1:8">
      <c r="A11" s="2"/>
      <c r="B11" s="3">
        <f>Table1[[#This Row],[Porcentaje de la muestra '[pct']]]*10000</f>
        <v>0</v>
      </c>
      <c r="C11" s="4"/>
      <c r="D11" s="4"/>
      <c r="E11" s="7"/>
      <c r="F11" s="4"/>
      <c r="G11" s="4"/>
      <c r="H11" s="4"/>
    </row>
    <row r="12" spans="1:8" ht="14.25" customHeight="1">
      <c r="C12" s="8" t="s">
        <v>0</v>
      </c>
      <c r="D12" s="8"/>
      <c r="E12" s="8"/>
      <c r="F12" s="9" t="s">
        <v>1</v>
      </c>
      <c r="G12" s="9"/>
      <c r="H12" s="9"/>
    </row>
    <row r="13" spans="1:8" s="5" customFormat="1" ht="28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 ht="14">
      <c r="A14" s="2">
        <v>5.0000000000000001E-3</v>
      </c>
      <c r="B14" s="3">
        <f>Table13[[#This Row],[Porcentaje de la muestra '[pct']]]*10000</f>
        <v>50</v>
      </c>
      <c r="C14" s="4">
        <v>6.4000000000000001E-2</v>
      </c>
      <c r="D14" s="4">
        <v>2.8000000000000001E-2</v>
      </c>
      <c r="E14" s="4">
        <v>6.0000000000000001E-3</v>
      </c>
      <c r="F14" s="4">
        <v>2.9000000000000001E-2</v>
      </c>
      <c r="G14" s="4">
        <v>2.3E-2</v>
      </c>
      <c r="H14" s="4">
        <v>2E-3</v>
      </c>
    </row>
    <row r="15" spans="1:8" s="5" customFormat="1" ht="14">
      <c r="A15" s="2">
        <v>0.05</v>
      </c>
      <c r="B15" s="3">
        <f>Table13[[#This Row],[Porcentaje de la muestra '[pct']]]*10000</f>
        <v>500</v>
      </c>
      <c r="C15" s="4">
        <v>0.38800000000000001</v>
      </c>
      <c r="D15" s="4">
        <v>0.22</v>
      </c>
      <c r="E15" s="4">
        <v>3.0000000000000001E-3</v>
      </c>
      <c r="F15" s="4">
        <v>0.25900000000000001</v>
      </c>
      <c r="G15" s="4">
        <v>0.20599999999999999</v>
      </c>
      <c r="H15" s="4">
        <v>2E-3</v>
      </c>
    </row>
    <row r="16" spans="1:8">
      <c r="A16" s="2">
        <v>0.1</v>
      </c>
      <c r="B16" s="3">
        <f>Table13[[#This Row],[Porcentaje de la muestra '[pct']]]*10000</f>
        <v>1000</v>
      </c>
      <c r="C16" s="4">
        <v>0.58599999999999997</v>
      </c>
      <c r="D16" s="4">
        <v>0.44900000000000001</v>
      </c>
      <c r="E16" s="4">
        <v>2E-3</v>
      </c>
      <c r="F16" s="4">
        <v>0.51100000000000001</v>
      </c>
      <c r="G16" s="4">
        <v>0.497</v>
      </c>
      <c r="H16" s="4">
        <v>1E-3</v>
      </c>
    </row>
    <row r="17" spans="1:8">
      <c r="A17" s="2">
        <v>0.2</v>
      </c>
      <c r="B17" s="3">
        <f>Table13[[#This Row],[Porcentaje de la muestra '[pct']]]*10000</f>
        <v>2000</v>
      </c>
      <c r="C17" s="4">
        <v>1.1559999999999999</v>
      </c>
      <c r="D17" s="4">
        <v>1.0089999999999999</v>
      </c>
      <c r="E17" s="4">
        <v>2E-3</v>
      </c>
      <c r="F17" s="4">
        <v>1.0249999999999999</v>
      </c>
      <c r="G17" s="4">
        <v>0.80100000000000005</v>
      </c>
      <c r="H17" s="4">
        <v>1E-3</v>
      </c>
    </row>
    <row r="18" spans="1:8">
      <c r="A18" s="2">
        <v>0.3</v>
      </c>
      <c r="B18" s="3">
        <f>Table13[[#This Row],[Porcentaje de la muestra '[pct']]]*10000</f>
        <v>3000</v>
      </c>
      <c r="C18" s="4">
        <v>1.6180000000000001</v>
      </c>
      <c r="D18" s="4">
        <v>1.4039999999999999</v>
      </c>
      <c r="E18" s="4">
        <v>2E-3</v>
      </c>
      <c r="F18" s="4">
        <v>1.556</v>
      </c>
      <c r="G18" s="4">
        <v>1.276</v>
      </c>
      <c r="H18" s="4">
        <v>1E-3</v>
      </c>
    </row>
    <row r="19" spans="1:8">
      <c r="A19" s="2">
        <v>0.5</v>
      </c>
      <c r="B19" s="3">
        <f>Table13[[#This Row],[Porcentaje de la muestra '[pct']]]*10000</f>
        <v>5000</v>
      </c>
      <c r="C19" s="4">
        <v>2.7450000000000001</v>
      </c>
      <c r="D19" s="4">
        <v>2.3220000000000001</v>
      </c>
      <c r="E19" s="4">
        <v>2E-3</v>
      </c>
      <c r="F19" s="4">
        <v>2.6880000000000002</v>
      </c>
      <c r="G19" s="4">
        <v>2.2389999999999999</v>
      </c>
      <c r="H19" s="4">
        <v>1E-3</v>
      </c>
    </row>
    <row r="20" spans="1:8">
      <c r="A20" s="2">
        <v>0.8</v>
      </c>
      <c r="B20" s="3">
        <f>Table13[[#This Row],[Porcentaje de la muestra '[pct']]]*10000</f>
        <v>8000</v>
      </c>
      <c r="C20" s="4">
        <v>4.5880000000000001</v>
      </c>
      <c r="D20" s="4">
        <v>3.6150000000000002</v>
      </c>
      <c r="E20" s="4">
        <v>2E-3</v>
      </c>
      <c r="F20" s="4">
        <v>3.2679999999999998</v>
      </c>
      <c r="G20" s="4">
        <v>2.3069999999999999</v>
      </c>
      <c r="H20" s="4">
        <v>1E-3</v>
      </c>
    </row>
    <row r="21" spans="1:8">
      <c r="A21" s="2">
        <v>1</v>
      </c>
      <c r="B21" s="3">
        <v>10000</v>
      </c>
      <c r="C21" s="4">
        <v>6.1040000000000001</v>
      </c>
      <c r="D21" s="4">
        <v>4.0789999999999997</v>
      </c>
      <c r="E21" s="4">
        <v>6.0000000000000001E-3</v>
      </c>
      <c r="F21" s="4">
        <v>3.2829999999999999</v>
      </c>
      <c r="G21" s="4">
        <v>2.4449999999999998</v>
      </c>
      <c r="H21" s="4">
        <v>4.0000000000000001E-3</v>
      </c>
    </row>
    <row r="22" spans="1:8">
      <c r="A22" s="2"/>
      <c r="B22" s="3">
        <f>Table13[[#This Row],[Porcentaje de la muestra '[pct']]]*10000</f>
        <v>0</v>
      </c>
      <c r="C22" s="4"/>
      <c r="D22" s="4"/>
      <c r="E22" s="7"/>
      <c r="F22" s="4"/>
      <c r="G22" s="4"/>
      <c r="H22" s="4"/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User</cp:lastModifiedBy>
  <cp:revision/>
  <dcterms:created xsi:type="dcterms:W3CDTF">2021-02-18T03:17:26Z</dcterms:created>
  <dcterms:modified xsi:type="dcterms:W3CDTF">2026-02-19T01:47:10Z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